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876432FB-B496-43AC-B559-C98CD24A3967}" xr6:coauthVersionLast="47" xr6:coauthVersionMax="47" xr10:uidLastSave="{00000000-0000-0000-0000-000000000000}"/>
  <bookViews>
    <workbookView xWindow="-93" yWindow="-93" windowWidth="23226" windowHeight="13866" xr2:uid="{445FD283-A370-436D-9C88-E774F9F90523}"/>
  </bookViews>
  <sheets>
    <sheet name="01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E19" i="1" s="1"/>
  <c r="D17" i="1"/>
  <c r="D24" i="1" s="1"/>
  <c r="C17" i="1"/>
  <c r="C24" i="1" s="1"/>
  <c r="F19" i="1" l="1"/>
  <c r="E17" i="1"/>
  <c r="E24" i="1" s="1"/>
  <c r="G19" i="1" l="1"/>
  <c r="G17" i="1" s="1"/>
  <c r="G24" i="1" s="1"/>
  <c r="F17" i="1"/>
  <c r="F24" i="1" s="1"/>
</calcChain>
</file>

<file path=xl/sharedStrings.xml><?xml version="1.0" encoding="utf-8"?>
<sst xmlns="http://schemas.openxmlformats.org/spreadsheetml/2006/main" count="44" uniqueCount="44">
  <si>
    <t>Mẫu 01A (Lưu tại đơn vị)</t>
  </si>
  <si>
    <t>NGÂN HÀNG NÔNG NGHIỆP</t>
  </si>
  <si>
    <t>CỘNG HÒA XÃ HỘI CHỦ NGHĨA VIỆT NAM</t>
  </si>
  <si>
    <t>VÀ PHÁT TRIỂN NÔNG THÔN VIỆT NAM</t>
  </si>
  <si>
    <t>Độc lập - Tự do - Hạnh phúc</t>
  </si>
  <si>
    <t>BAN KIỂM SOÁT</t>
  </si>
  <si>
    <t>Hà Nội, ngày       tháng    năm 2024</t>
  </si>
  <si>
    <t>KIỂM TOÁN NỘI BỘ</t>
  </si>
  <si>
    <t>PHÒNG: KIỂM TOÁN NỘI BỘ 2</t>
  </si>
  <si>
    <t>PHIẾU ĐÁNH GIÁ MỨC ĐỘ HOÀN THÀNH CÔNG VIỆC</t>
  </si>
  <si>
    <t>Kỳ tạm ứng thù lao theo hiệu quả V2 tháng 03 Năm 2026</t>
  </si>
  <si>
    <t>(Áp dụng cho nhân viên/phó trưởng phòng thuộc BP KTNB)</t>
  </si>
  <si>
    <t>Họ và tên: Nguyễn Mạnh Cường</t>
  </si>
  <si>
    <t>Chức vụ:  Phó phòng</t>
  </si>
  <si>
    <t>Phòng: Giám sát</t>
  </si>
  <si>
    <t>TT</t>
  </si>
  <si>
    <t>Tiêu chí đánh giá</t>
  </si>
  <si>
    <t>Điểm đánh giá</t>
  </si>
  <si>
    <t>Ghi chú</t>
  </si>
  <si>
    <t>NLĐ (tự đánh giá)</t>
  </si>
  <si>
    <t>Trưởng đoàn</t>
  </si>
  <si>
    <t>Trưởng phòng</t>
  </si>
  <si>
    <t>Phó trưởng KTNB phụ trách</t>
  </si>
  <si>
    <t>Trưởng KTNB</t>
  </si>
  <si>
    <t>Điểm bình quân</t>
  </si>
  <si>
    <t>I</t>
  </si>
  <si>
    <t>Kết quả thực hiện công việc</t>
  </si>
  <si>
    <r>
      <t>Khối lượng công việc</t>
    </r>
    <r>
      <rPr>
        <sz val="11"/>
        <color theme="1"/>
        <rFont val="Times New Roman"/>
        <family val="1"/>
      </rPr>
      <t xml:space="preserve"> (Khối lương CV hoàn thành so với khối lượng CV được giao)</t>
    </r>
  </si>
  <si>
    <r>
      <t>Chất lượng công việc</t>
    </r>
    <r>
      <rPr>
        <sz val="11"/>
        <color theme="1"/>
        <rFont val="Times New Roman"/>
        <family val="1"/>
      </rPr>
      <t xml:space="preserve"> (Chất lượng, kết quả, sự chính xác… trong thực hiện CV)</t>
    </r>
  </si>
  <si>
    <r>
      <t>Tiến độ thực hiện công việc</t>
    </r>
    <r>
      <rPr>
        <sz val="11"/>
        <color theme="1"/>
        <rFont val="Times New Roman"/>
        <family val="1"/>
      </rPr>
      <t xml:space="preserve"> (tiến độ thực hiện CV theo thời hạn được giao)</t>
    </r>
  </si>
  <si>
    <r>
      <t>Năng lực, thái độ thực hiện công việc</t>
    </r>
    <r>
      <rPr>
        <sz val="11"/>
        <color theme="1"/>
        <rFont val="Times New Roman"/>
        <family val="1"/>
      </rPr>
      <t xml:space="preserve"> (khả năng tham mưu lãnh đạo; khả năng xây dựng cơ chế, quy chế…; khả năng xử lý tình huống; ý thức làm việc; phối hợp công tác…)</t>
    </r>
  </si>
  <si>
    <t>II</t>
  </si>
  <si>
    <t>Ý thức chấp hành kỷ luật, nội quy lao động</t>
  </si>
  <si>
    <t>III</t>
  </si>
  <si>
    <t>Kết quả kiểm tra nghiệp vụ</t>
  </si>
  <si>
    <t>Tổng điểm</t>
  </si>
  <si>
    <t>NGƯỜI LAO ĐỘNG</t>
  </si>
  <si>
    <t>LÃNH ĐẠO PHÒNG</t>
  </si>
  <si>
    <t>P. TRƯỞNG KTNB 
PHỤ TRÁCH</t>
  </si>
  <si>
    <t>TRƯỞNG KTNB</t>
  </si>
  <si>
    <t>Nguyễn Mạnh Cường</t>
  </si>
  <si>
    <t>Trần Thị Lan</t>
  </si>
  <si>
    <t>Nguyễn Thị Trang</t>
  </si>
  <si>
    <t>Nguyễn Thị Hiền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</si>
</sst>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ong_Danh%20gia%20ket%20qua%20thuc%20hien%20cong%20viec%20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u luc 01"/>
      <sheetName val="01A"/>
    </sheetNames>
    <sheetDataSet>
      <sheetData sheetId="0">
        <row r="23">
          <cell r="I23">
            <v>19.428571428571427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72F0-3ED6-4A43-95CD-3AD4AD66090C}">
  <sheetPr>
    <tabColor rgb="FFC00000"/>
  </sheetPr>
  <dimension ref="A1:I33"/>
  <sheetViews>
    <sheetView tabSelected="1" topLeftCell="A7" zoomScale="85" zoomScaleNormal="85" workbookViewId="0">
      <selection activeCell="A13" sqref="A13"/>
    </sheetView>
  </sheetViews>
  <sheetFormatPr defaultRowHeight="13.7" x14ac:dyDescent="0.4"/>
  <cols>
    <col min="1" max="1" width="8.109375" style="27" customWidth="1"/>
    <col min="2" max="2" width="32" customWidth="1"/>
    <col min="3" max="8" width="12" customWidth="1"/>
    <col min="9" max="9" width="10.5546875" customWidth="1"/>
  </cols>
  <sheetData>
    <row r="1" spans="1:9" ht="14" x14ac:dyDescent="0.45">
      <c r="A1" s="1"/>
      <c r="B1" s="2"/>
      <c r="C1" s="2"/>
      <c r="D1" s="2"/>
      <c r="E1" s="2"/>
      <c r="F1" s="3" t="s">
        <v>0</v>
      </c>
      <c r="G1" s="3"/>
      <c r="H1" s="3"/>
      <c r="I1" s="3"/>
    </row>
    <row r="2" spans="1:9" ht="14" x14ac:dyDescent="0.45">
      <c r="A2" s="4" t="s">
        <v>1</v>
      </c>
      <c r="B2" s="4"/>
      <c r="C2" s="2"/>
      <c r="D2" s="2"/>
      <c r="E2" s="2"/>
      <c r="F2" s="5" t="s">
        <v>2</v>
      </c>
      <c r="G2" s="5"/>
      <c r="H2" s="5"/>
      <c r="I2" s="5"/>
    </row>
    <row r="3" spans="1:9" ht="14" x14ac:dyDescent="0.45">
      <c r="A3" s="4" t="s">
        <v>3</v>
      </c>
      <c r="B3" s="4"/>
      <c r="C3" s="2"/>
      <c r="D3" s="2"/>
      <c r="E3" s="2"/>
      <c r="F3" s="6" t="s">
        <v>4</v>
      </c>
      <c r="G3" s="6"/>
      <c r="H3" s="6"/>
      <c r="I3" s="6"/>
    </row>
    <row r="4" spans="1:9" ht="14" x14ac:dyDescent="0.45">
      <c r="A4" s="4" t="s">
        <v>5</v>
      </c>
      <c r="B4" s="4"/>
      <c r="C4" s="2"/>
      <c r="D4" s="2"/>
      <c r="E4" s="2"/>
      <c r="F4" s="7" t="s">
        <v>6</v>
      </c>
      <c r="G4" s="7"/>
      <c r="H4" s="7"/>
      <c r="I4" s="7"/>
    </row>
    <row r="5" spans="1:9" ht="14" x14ac:dyDescent="0.45">
      <c r="A5" s="8" t="s">
        <v>7</v>
      </c>
      <c r="B5" s="8"/>
      <c r="C5" s="2"/>
      <c r="D5" s="2"/>
      <c r="E5" s="2"/>
      <c r="F5" s="2"/>
      <c r="G5" s="2"/>
      <c r="H5" s="2"/>
      <c r="I5" s="2"/>
    </row>
    <row r="6" spans="1:9" ht="14" x14ac:dyDescent="0.45">
      <c r="A6" s="4" t="s">
        <v>8</v>
      </c>
      <c r="B6" s="4"/>
      <c r="C6" s="2"/>
      <c r="D6" s="2"/>
      <c r="E6" s="2"/>
      <c r="F6" s="2"/>
      <c r="G6" s="2"/>
      <c r="H6" s="2"/>
      <c r="I6" s="2"/>
    </row>
    <row r="7" spans="1:9" x14ac:dyDescent="0.4">
      <c r="A7" s="9" t="s">
        <v>9</v>
      </c>
      <c r="B7" s="9"/>
      <c r="C7" s="9"/>
      <c r="D7" s="9"/>
      <c r="E7" s="9"/>
      <c r="F7" s="9"/>
      <c r="G7" s="9"/>
      <c r="H7" s="9"/>
      <c r="I7" s="9"/>
    </row>
    <row r="8" spans="1:9" x14ac:dyDescent="0.4">
      <c r="A8" s="9" t="s">
        <v>10</v>
      </c>
      <c r="B8" s="9"/>
      <c r="C8" s="9"/>
      <c r="D8" s="9"/>
      <c r="E8" s="9"/>
      <c r="F8" s="9"/>
      <c r="G8" s="9"/>
      <c r="H8" s="9"/>
      <c r="I8" s="9"/>
    </row>
    <row r="9" spans="1:9" ht="14" x14ac:dyDescent="0.4">
      <c r="A9" s="4" t="s">
        <v>11</v>
      </c>
      <c r="B9" s="4"/>
      <c r="C9" s="4"/>
      <c r="D9" s="4"/>
      <c r="E9" s="4"/>
      <c r="F9" s="4"/>
      <c r="G9" s="4"/>
      <c r="H9" s="4"/>
      <c r="I9" s="4"/>
    </row>
    <row r="10" spans="1:9" ht="14" x14ac:dyDescent="0.4">
      <c r="A10" s="10" t="s">
        <v>12</v>
      </c>
      <c r="B10" s="10"/>
      <c r="C10" s="10"/>
      <c r="D10" s="11"/>
      <c r="E10" s="1"/>
      <c r="F10" s="1"/>
      <c r="G10" s="1"/>
      <c r="H10" s="1"/>
      <c r="I10" s="1"/>
    </row>
    <row r="11" spans="1:9" ht="14" x14ac:dyDescent="0.4">
      <c r="A11" s="10" t="s">
        <v>13</v>
      </c>
      <c r="B11" s="10"/>
      <c r="C11" s="10"/>
      <c r="D11" s="11"/>
      <c r="E11" s="1"/>
      <c r="F11" s="1"/>
      <c r="G11" s="1"/>
      <c r="H11" s="1"/>
      <c r="I11" s="1"/>
    </row>
    <row r="12" spans="1:9" ht="14" x14ac:dyDescent="0.4">
      <c r="A12" s="10" t="s">
        <v>14</v>
      </c>
      <c r="B12" s="10"/>
      <c r="C12" s="10"/>
      <c r="D12" s="11"/>
      <c r="E12" s="1"/>
      <c r="F12" s="1"/>
      <c r="G12" s="1"/>
      <c r="H12" s="1"/>
      <c r="I12" s="1"/>
    </row>
    <row r="14" spans="1:9" x14ac:dyDescent="0.4">
      <c r="A14" s="12" t="s">
        <v>15</v>
      </c>
      <c r="B14" s="12" t="s">
        <v>16</v>
      </c>
      <c r="C14" s="12" t="s">
        <v>17</v>
      </c>
      <c r="D14" s="12"/>
      <c r="E14" s="12"/>
      <c r="F14" s="12"/>
      <c r="G14" s="12"/>
      <c r="H14" s="12"/>
      <c r="I14" s="12" t="s">
        <v>18</v>
      </c>
    </row>
    <row r="15" spans="1:9" ht="41" x14ac:dyDescent="0.4">
      <c r="A15" s="12"/>
      <c r="B15" s="12"/>
      <c r="C15" s="13" t="s">
        <v>19</v>
      </c>
      <c r="D15" s="13" t="s">
        <v>20</v>
      </c>
      <c r="E15" s="13" t="s">
        <v>21</v>
      </c>
      <c r="F15" s="13" t="s">
        <v>22</v>
      </c>
      <c r="G15" s="13" t="s">
        <v>23</v>
      </c>
      <c r="H15" s="13" t="s">
        <v>24</v>
      </c>
      <c r="I15" s="12"/>
    </row>
    <row r="16" spans="1:9" x14ac:dyDescent="0.4">
      <c r="A16" s="14">
        <v>1</v>
      </c>
      <c r="B16" s="14">
        <v>2</v>
      </c>
      <c r="C16" s="14">
        <v>3</v>
      </c>
      <c r="D16" s="14">
        <v>4</v>
      </c>
      <c r="E16" s="14">
        <v>5</v>
      </c>
      <c r="F16" s="14">
        <v>6</v>
      </c>
      <c r="G16" s="14">
        <v>7</v>
      </c>
      <c r="H16" s="14">
        <v>8</v>
      </c>
      <c r="I16" s="14">
        <v>9</v>
      </c>
    </row>
    <row r="17" spans="1:9" x14ac:dyDescent="0.4">
      <c r="A17" s="13" t="s">
        <v>25</v>
      </c>
      <c r="B17" s="15" t="s">
        <v>26</v>
      </c>
      <c r="C17" s="16">
        <f t="shared" ref="C17:G17" si="0">SUM(C18:C21)</f>
        <v>79.428571428571431</v>
      </c>
      <c r="D17" s="17">
        <f t="shared" si="0"/>
        <v>0</v>
      </c>
      <c r="E17" s="16">
        <f t="shared" si="0"/>
        <v>79.428571428571431</v>
      </c>
      <c r="F17" s="16">
        <f t="shared" si="0"/>
        <v>79.428571428571431</v>
      </c>
      <c r="G17" s="16">
        <f t="shared" si="0"/>
        <v>79.428571428571431</v>
      </c>
      <c r="H17" s="16"/>
      <c r="I17" s="13"/>
    </row>
    <row r="18" spans="1:9" ht="42" x14ac:dyDescent="0.4">
      <c r="A18" s="18">
        <v>1</v>
      </c>
      <c r="B18" s="15" t="s">
        <v>27</v>
      </c>
      <c r="C18" s="19">
        <v>20</v>
      </c>
      <c r="D18" s="20"/>
      <c r="E18" s="19">
        <v>20</v>
      </c>
      <c r="F18" s="19">
        <v>20</v>
      </c>
      <c r="G18" s="19">
        <v>20</v>
      </c>
      <c r="H18" s="19"/>
      <c r="I18" s="21"/>
    </row>
    <row r="19" spans="1:9" ht="28" x14ac:dyDescent="0.4">
      <c r="A19" s="18">
        <v>2</v>
      </c>
      <c r="B19" s="15" t="s">
        <v>28</v>
      </c>
      <c r="C19" s="22">
        <f>'[1]Phu luc 01'!I23</f>
        <v>19.428571428571427</v>
      </c>
      <c r="D19" s="20"/>
      <c r="E19" s="22">
        <f>C19</f>
        <v>19.428571428571427</v>
      </c>
      <c r="F19" s="22">
        <f>E19</f>
        <v>19.428571428571427</v>
      </c>
      <c r="G19" s="22">
        <f>F19</f>
        <v>19.428571428571427</v>
      </c>
      <c r="H19" s="22"/>
      <c r="I19" s="21"/>
    </row>
    <row r="20" spans="1:9" ht="28" x14ac:dyDescent="0.4">
      <c r="A20" s="18">
        <v>3</v>
      </c>
      <c r="B20" s="15" t="s">
        <v>29</v>
      </c>
      <c r="C20" s="19">
        <v>20</v>
      </c>
      <c r="D20" s="20"/>
      <c r="E20" s="19">
        <v>20</v>
      </c>
      <c r="F20" s="19">
        <v>20</v>
      </c>
      <c r="G20" s="19">
        <v>20</v>
      </c>
      <c r="H20" s="19"/>
      <c r="I20" s="21"/>
    </row>
    <row r="21" spans="1:9" ht="70" x14ac:dyDescent="0.4">
      <c r="A21" s="18">
        <v>4</v>
      </c>
      <c r="B21" s="15" t="s">
        <v>30</v>
      </c>
      <c r="C21" s="19">
        <v>20</v>
      </c>
      <c r="D21" s="20"/>
      <c r="E21" s="19">
        <v>20</v>
      </c>
      <c r="F21" s="19">
        <v>20</v>
      </c>
      <c r="G21" s="19">
        <v>20</v>
      </c>
      <c r="H21" s="19"/>
      <c r="I21" s="21"/>
    </row>
    <row r="22" spans="1:9" ht="27.35" x14ac:dyDescent="0.4">
      <c r="A22" s="13" t="s">
        <v>31</v>
      </c>
      <c r="B22" s="15" t="s">
        <v>32</v>
      </c>
      <c r="C22" s="23">
        <v>10</v>
      </c>
      <c r="D22" s="17"/>
      <c r="E22" s="23">
        <v>10</v>
      </c>
      <c r="F22" s="23">
        <v>10</v>
      </c>
      <c r="G22" s="23">
        <v>10</v>
      </c>
      <c r="H22" s="23"/>
      <c r="I22" s="21"/>
    </row>
    <row r="23" spans="1:9" ht="18" customHeight="1" x14ac:dyDescent="0.4">
      <c r="A23" s="13" t="s">
        <v>33</v>
      </c>
      <c r="B23" s="15" t="s">
        <v>34</v>
      </c>
      <c r="C23" s="23">
        <v>10</v>
      </c>
      <c r="D23" s="17"/>
      <c r="E23" s="23">
        <v>10</v>
      </c>
      <c r="F23" s="23">
        <v>10</v>
      </c>
      <c r="G23" s="23">
        <v>10</v>
      </c>
      <c r="H23" s="23"/>
      <c r="I23" s="21"/>
    </row>
    <row r="24" spans="1:9" ht="23.25" customHeight="1" x14ac:dyDescent="0.4">
      <c r="A24" s="21"/>
      <c r="B24" s="15" t="s">
        <v>35</v>
      </c>
      <c r="C24" s="16">
        <f t="shared" ref="C24:G24" si="1">SUM(C17,C22,C23)</f>
        <v>99.428571428571431</v>
      </c>
      <c r="D24" s="17">
        <f t="shared" si="1"/>
        <v>0</v>
      </c>
      <c r="E24" s="16">
        <f t="shared" si="1"/>
        <v>99.428571428571431</v>
      </c>
      <c r="F24" s="16">
        <f t="shared" si="1"/>
        <v>99.428571428571431</v>
      </c>
      <c r="G24" s="16">
        <f t="shared" si="1"/>
        <v>99.428571428571431</v>
      </c>
      <c r="H24" s="16"/>
      <c r="I24" s="21"/>
    </row>
    <row r="25" spans="1:9" ht="24" customHeight="1" x14ac:dyDescent="0.4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4">
      <c r="A26" s="9" t="s">
        <v>36</v>
      </c>
      <c r="B26" s="9"/>
      <c r="C26" s="25" t="s">
        <v>37</v>
      </c>
      <c r="D26" s="25"/>
      <c r="E26" s="25"/>
      <c r="F26" s="26" t="s">
        <v>38</v>
      </c>
      <c r="G26" s="26"/>
      <c r="H26" s="25" t="s">
        <v>39</v>
      </c>
      <c r="I26" s="25"/>
    </row>
    <row r="33" spans="1:9" x14ac:dyDescent="0.4">
      <c r="A33" s="9" t="s">
        <v>40</v>
      </c>
      <c r="B33" s="9"/>
      <c r="C33" s="9" t="s">
        <v>41</v>
      </c>
      <c r="D33" s="9"/>
      <c r="E33" s="9"/>
      <c r="F33" s="9" t="s">
        <v>42</v>
      </c>
      <c r="G33" s="9"/>
      <c r="H33" s="3" t="s">
        <v>43</v>
      </c>
      <c r="I33" s="3"/>
    </row>
  </sheetData>
  <mergeCells count="27">
    <mergeCell ref="A26:B26"/>
    <mergeCell ref="C26:E26"/>
    <mergeCell ref="F26:G26"/>
    <mergeCell ref="H26:I26"/>
    <mergeCell ref="A33:B33"/>
    <mergeCell ref="C33:E33"/>
    <mergeCell ref="F33:G33"/>
    <mergeCell ref="H33:I33"/>
    <mergeCell ref="A11:C11"/>
    <mergeCell ref="A12:C12"/>
    <mergeCell ref="A14:A15"/>
    <mergeCell ref="B14:B15"/>
    <mergeCell ref="C14:H14"/>
    <mergeCell ref="I14:I15"/>
    <mergeCell ref="A5:B5"/>
    <mergeCell ref="A6:B6"/>
    <mergeCell ref="A7:I7"/>
    <mergeCell ref="A8:I8"/>
    <mergeCell ref="A9:I9"/>
    <mergeCell ref="A10:C10"/>
    <mergeCell ref="F1:I1"/>
    <mergeCell ref="A2:B2"/>
    <mergeCell ref="F2:I2"/>
    <mergeCell ref="A3:B3"/>
    <mergeCell ref="F3:I3"/>
    <mergeCell ref="A4:B4"/>
    <mergeCell ref="F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Uyen 20204933</dc:creator>
  <cp:lastModifiedBy>Nguyen Phuong Uyen 20204933</cp:lastModifiedBy>
  <dcterms:created xsi:type="dcterms:W3CDTF">2026-05-07T06:38:58Z</dcterms:created>
  <dcterms:modified xsi:type="dcterms:W3CDTF">2026-05-07T06:39:18Z</dcterms:modified>
</cp:coreProperties>
</file>